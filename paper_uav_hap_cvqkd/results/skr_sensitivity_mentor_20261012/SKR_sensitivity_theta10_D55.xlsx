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nu" sheetId="1" r:id="rId1"/>
    <sheet name="Fixed VA" sheetId="2" r:id="rId2"/>
  </sheets>
  <definedNames>
    <definedName name="_xlnm._FilterDatabase" localSheetId="0" hidden="1">'Fixed nu'!$A$11:$F$18</definedName>
    <definedName name="_xlnm._FilterDatabase" localSheetId="1" hidden="1">'Fixed VA'!$A$11:$F$16</definedName>
    <definedName name="_xlnm.Print_Area" localSheetId="0">'Fixed nu'!$A$1:$F$48</definedName>
    <definedName name="_xlnm.Print_Area" localSheetId="1">'Fixed VA'!$A$1:$F$48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5" authorId="0">
      <text>
        <r>
          <rPr>
            <sz val="8"/>
            <color indexed="81"/>
            <rFont val="Tahoma"/>
            <family val="2"/>
          </rPr>
          <t>Full saved reference value: 0.07798099387393764
Best currently exact-tested catalog point; not a certified global optimum.</t>
        </r>
      </text>
    </comment>
    <comment ref="B12" authorId="0">
      <text>
        <r>
          <rPr>
            <sz val="8"/>
            <color indexed="81"/>
            <rFont val="Tahoma"/>
            <family val="2"/>
          </rPr>
          <t>Saved binary64 SKR: 0.07795473107720619
Validated exact source: results/exact_mb_test2/exact_source_cache/427eaed2038ab2e11d3aa4ac3830f73844f941cd401768037ac303f9a488ed2b.json
Source SHA256: ca5c3b20ad7c7c51a694e1ab6df726a16195d42a5e649b4426cb20b1ca159a03
Cache key: 427eaed2038ab2e11d3aa4ac3830f73844f941cd401768037ac303f9a488ed2b
Objective JSON pointer: /2/rows/36
Context SHA256: 31a7c64c9e256b901009aa7e7fa92cc04e60031517c071bdc8129d358a2d540c
No new scientific evaluation. Excel retains its standard numeric precision.</t>
        </r>
      </text>
    </comment>
    <comment ref="B13" authorId="0">
      <text>
        <r>
          <rPr>
            <sz val="8"/>
            <color indexed="81"/>
            <rFont val="Tahoma"/>
            <family val="2"/>
          </rPr>
          <t>Saved binary64 SKR: 0.07797458088717046
Validated exact source: results/exact_mb_test2/exact_source_cache/a01b1fdb8cbaf8f67b8de29b95371679b6ad1476ac778e5c5dd16724932b6562.json
Source SHA256: 0e70f90b04d81e8919eb30677db05f517bf3d739e2a1da872cfbce6c3fdc63c3
Cache key: a01b1fdb8cbaf8f67b8de29b95371679b6ad1476ac778e5c5dd16724932b6562
Objective JSON pointer: /2/rows/91
Context SHA256: 31a7c64c9e256b901009aa7e7fa92cc04e60031517c071bdc8129d358a2d540c
No new scientific evaluation. Excel retains its standard numeric precision.</t>
        </r>
      </text>
    </comment>
    <comment ref="B14" authorId="0">
      <text>
        <r>
          <rPr>
            <sz val="8"/>
            <color indexed="81"/>
            <rFont val="Tahoma"/>
            <family val="2"/>
          </rPr>
          <t>Saved binary64 SKR: 0.07797944573315274
Validated exact source: results/theta10_D55_mb_exact_targeted_expansion/resumed_sleep_safe_run/exact_source_cache/5764a134490ed68f96ff10357aa67c1f4f57b88f2bd1ca6a4a9a8498859f6644.json
Source SHA256: ff53d8c747126413245b1ba8fcdddf2214fe418ee044ee8da7064d3c89ecaa4d
Cache key: 5764a134490ed68f96ff10357aa67c1f4f57b88f2bd1ca6a4a9a8498859f6644
Objective JSON pointer: /2/rows/140
Context SHA256: 31a7c64c9e256b901009aa7e7fa92cc04e60031517c071bdc8129d358a2d540c
No new scientific evaluation. Excel retains its standard numeric precision.</t>
        </r>
      </text>
    </comment>
    <comment ref="B15" authorId="0">
      <text>
        <r>
          <rPr>
            <sz val="8"/>
            <color indexed="81"/>
            <rFont val="Tahoma"/>
            <family val="2"/>
          </rPr>
          <t>Saved binary64 SKR: 0.07798099387393764
Validated exact source: results/exact_mb_test2/exact_source_cache/77fc4a06afc0dba6d2e357db36dc216d34677f30d69fdf1f78781b105af39f1c.json
Source SHA256: d0b9a83a625437a6f056e990b3de61aa95c375940ee7a804056ca44c607026e9
Cache key: 77fc4a06afc0dba6d2e357db36dc216d34677f30d69fdf1f78781b105af39f1c
Objective JSON pointer: /2/rows/61
Context SHA256: 31a7c64c9e256b901009aa7e7fa92cc04e60031517c071bdc8129d358a2d540c
No new scientific evaluation. Excel retains its standard numeric precision.</t>
        </r>
      </text>
    </comment>
    <comment ref="B16" authorId="0">
      <text>
        <r>
          <rPr>
            <sz val="8"/>
            <color indexed="81"/>
            <rFont val="Tahoma"/>
            <family val="2"/>
          </rPr>
          <t>Saved binary64 SKR: 0.07797926607881778
Validated exact source: results/exact_mb_test2/exact_source_cache/c8795bac24fc4cd0891044e2f26becafd9c92415c919a0d92fb6a24f7b9ce8c4.json
Source SHA256: cd7558448d5a703efa2bf18d1f2d2c951eda1b83751ffe4a771d519ff72098d7
Cache key: c8795bac24fc4cd0891044e2f26becafd9c92415c919a0d92fb6a24f7b9ce8c4
Objective JSON pointer: /2/rows/115
Context SHA256: 31a7c64c9e256b901009aa7e7fa92cc04e60031517c071bdc8129d358a2d540c
No new scientific evaluation. Excel retains its standard numeric precision.</t>
        </r>
      </text>
    </comment>
    <comment ref="B17" authorId="0">
      <text>
        <r>
          <rPr>
            <sz val="8"/>
            <color indexed="81"/>
            <rFont val="Tahoma"/>
            <family val="2"/>
          </rPr>
          <t>Saved binary64 SKR: 0.07797430195807054
Validated exact source: results/exact_mb_test2/exact_source_cache/350640459e8e66ba7f5b0234510c6a79da41cbe1b70a84502ee1bcb798f17d93.json
Source SHA256: d1a5491faff697c476480636b3c9286d44d497da415fff84882136dab9a1852b
Cache key: 350640459e8e66ba7f5b0234510c6a79da41cbe1b70a84502ee1bcb798f17d93
Objective JSON pointer: /2/rows/29
Context SHA256: 31a7c64c9e256b901009aa7e7fa92cc04e60031517c071bdc8129d358a2d540c
No new scientific evaluation. Excel retains its standard numeric precision.</t>
        </r>
      </text>
    </comment>
    <comment ref="B18" authorId="0">
      <text>
        <r>
          <rPr>
            <sz val="8"/>
            <color indexed="81"/>
            <rFont val="Tahoma"/>
            <family val="2"/>
          </rPr>
          <t>Saved binary64 SKR: 0.07795481827188011
Validated exact source: results/exact_mb_test2/exact_source_cache/58718f112540136fda2b5872a4f99f75d7b4e830b8ef165da9ef0a4cd6d5410f.json
Source SHA256: 97815dcf23ea814aa20fbaf95578cba8b7fbe129a6c6e7153751bf8580f50625
Cache key: 58718f112540136fda2b5872a4f99f75d7b4e830b8ef165da9ef0a4cd6d5410f
Objective JSON pointer: /2/rows/49
Context SHA256: 31a7c64c9e256b901009aa7e7fa92cc04e60031517c071bdc8129d358a2d540c
No new scientific evaluation. Excel retains its standard numeric precision.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5" authorId="0">
      <text>
        <r>
          <rPr>
            <sz val="8"/>
            <color indexed="81"/>
            <rFont val="Tahoma"/>
            <family val="2"/>
          </rPr>
          <t>Full saved reference value: 0.07798099387393764
Best currently exact-tested catalog point; not a certified global optimum.</t>
        </r>
      </text>
    </comment>
    <comment ref="B12" authorId="0">
      <text>
        <r>
          <rPr>
            <sz val="8"/>
            <color indexed="81"/>
            <rFont val="Tahoma"/>
            <family val="2"/>
          </rPr>
          <t>Saved binary64 SKR: 0.07797104999097981
Validated exact source: results/exact_mb_test2/exact_source_cache/142eadc012aca3e0c6b56bc9bd4138f50062e5f12f550e47d05d2ee56839c3b7.json
Source SHA256: 0d43dcaa3f8dcf43c4b18b62a559289166c34d082af50be0ef249150a0878a5d
Cache key: 142eadc012aca3e0c6b56bc9bd4138f50062e5f12f550e47d05d2ee56839c3b7
Objective JSON pointer: /2/rows/12
Context SHA256: 31a7c64c9e256b901009aa7e7fa92cc04e60031517c071bdc8129d358a2d540c
No new scientific evaluation. Excel retains its standard numeric precision.</t>
        </r>
      </text>
    </comment>
    <comment ref="B13" authorId="0">
      <text>
        <r>
          <rPr>
            <sz val="8"/>
            <color indexed="81"/>
            <rFont val="Tahoma"/>
            <family val="2"/>
          </rPr>
          <t>Saved binary64 SKR: 0.07797905612029876
Validated exact source: results/theta10_D55_alt_opt_closure_continuation/exact_source_cache/0bca602d6c87801f49e22c35144a6f5ba0a5dcd60ae8b05964bdae0aaa18b49b.json
Source SHA256: ced9965e24a6c8f9a38b8a429b39b8f77559ee63339ce21898854a9db113d862
Cache key: 0bca602d6c87801f49e22c35144a6f5ba0a5dcd60ae8b05964bdae0aaa18b49b
Objective JSON pointer: /2/rows/136
Context SHA256: 31a7c64c9e256b901009aa7e7fa92cc04e60031517c071bdc8129d358a2d540c
No new scientific evaluation. Excel retains its standard numeric precision.</t>
        </r>
      </text>
    </comment>
    <comment ref="B14" authorId="0">
      <text>
        <r>
          <rPr>
            <sz val="8"/>
            <color indexed="81"/>
            <rFont val="Tahoma"/>
            <family val="2"/>
          </rPr>
          <t>Saved binary64 SKR: 0.07798099387393764
Validated exact source: results/exact_mb_test2/exact_source_cache/77fc4a06afc0dba6d2e357db36dc216d34677f30d69fdf1f78781b105af39f1c.json
Source SHA256: d0b9a83a625437a6f056e990b3de61aa95c375940ee7a804056ca44c607026e9
Cache key: 77fc4a06afc0dba6d2e357db36dc216d34677f30d69fdf1f78781b105af39f1c
Objective JSON pointer: /2/rows/61
Context SHA256: 31a7c64c9e256b901009aa7e7fa92cc04e60031517c071bdc8129d358a2d540c
No new scientific evaluation. Excel retains its standard numeric precision.</t>
        </r>
      </text>
    </comment>
    <comment ref="B15" authorId="0">
      <text>
        <r>
          <rPr>
            <sz val="8"/>
            <color indexed="81"/>
            <rFont val="Tahoma"/>
            <family val="2"/>
          </rPr>
          <t>Saved binary64 SKR: 0.07797664855298636
Validated exact source: results/theta10_D55_alt_opt_closure_continuation/exact_source_cache/1246a31d68dc47dad272ad0a065a33f7ec02e45f8bc8e3126c44c59f511da66b.json
Source SHA256: c87782d60c8a876ba585e1d5867b4e160a55f4a4d5a377c09dea2289e1613fe9
Cache key: 1246a31d68dc47dad272ad0a065a33f7ec02e45f8bc8e3126c44c59f511da66b
Objective JSON pointer: /2/rows/137
Context SHA256: 31a7c64c9e256b901009aa7e7fa92cc04e60031517c071bdc8129d358a2d540c
No new scientific evaluation. Excel retains its standard numeric precision.</t>
        </r>
      </text>
    </comment>
    <comment ref="B16" authorId="0">
      <text>
        <r>
          <rPr>
            <sz val="8"/>
            <color indexed="81"/>
            <rFont val="Tahoma"/>
            <family val="2"/>
          </rPr>
          <t>Saved binary64 SKR: 0.07796600001405829
Validated exact source: results/exact_mb_test2/exact_source_cache/5c1228426aa093a345ea95397146c1bd0798c41381af8ec8a39326cff84bebfd.json
Source SHA256: ff153c28664af23940fa6edf11cecc9e22c6ba42294acb6b688dfb24ac1e802a
Cache key: 5c1228426aa093a345ea95397146c1bd0798c41381af8ec8a39326cff84bebfd
Objective JSON pointer: /2/rows/50
Context SHA256: 31a7c64c9e256b901009aa7e7fa92cc04e60031517c071bdc8129d358a2d540c
No new scientific evaluation. Excel retains its standard numeric precision.</t>
        </r>
      </text>
    </comment>
  </commentList>
</comments>
</file>

<file path=xl/sharedStrings.xml><?xml version="1.0" encoding="utf-8"?>
<sst xmlns="http://schemas.openxmlformats.org/spreadsheetml/2006/main" count="58" uniqueCount="27">
  <si>
    <t>EXACT SKR SENSITIVITY</t>
  </si>
  <si>
    <t>Fixed nu_raw = 0.165 | vary V_A</t>
  </si>
  <si>
    <t>Link distance: 21.9393102292 km | theta10 / D55 | saved exact results only</t>
  </si>
  <si>
    <t>K_ref (bits/use)</t>
  </si>
  <si>
    <t>Loss threshold</t>
  </si>
  <si>
    <t>Fixed parameter</t>
  </si>
  <si>
    <t>Loss allowance</t>
  </si>
  <si>
    <t>Reference x</t>
  </si>
  <si>
    <t>Acceptance: relative loss &lt;= 0.01%. Gold marks the reference; ACCEPT / REJECT applies only to recorded points.</t>
  </si>
  <si>
    <t>Missing exact values stay blank and are never interpolated. The reference is best exact-tested, not globally certified.</t>
  </si>
  <si>
    <t>V_A (SNU)</t>
  </si>
  <si>
    <t>Exact SKR
(bits/use)</t>
  </si>
  <si>
    <t>K_ref - K
(bits/use)</t>
  </si>
  <si>
    <t>Relative SKR
loss (%)</t>
  </si>
  <si>
    <t>0.01% threshold</t>
  </si>
  <si>
    <t>Data / reference</t>
  </si>
  <si>
    <t>VALIDATED_EXACT</t>
  </si>
  <si>
    <t>REFERENCE OPTIMUM*</t>
  </si>
  <si>
    <t>* Reference optimum means the best currently exact-tested point in the finite catalog. Threshold is a performance criterion, not a numerical-error bound.</t>
  </si>
  <si>
    <t>Charts use numeric parameter axes and straight segments between stored points only; no smoothed or newly evaluated values.</t>
  </si>
  <si>
    <t>SOURCE &amp; SCOPE | exact saved-record export; no AP, AO, source generation or new SKR evaluation</t>
  </si>
  <si>
    <t>results/theta10_D55_objective_B_numerical_skr_optimization/grid_timeout_retry_1/objective_checkpoint.json</t>
  </si>
  <si>
    <t>Objective checkpoint SHA256: 8ac8d859e9abdfcc2c8c9444e51789262f741982ee952e48d67aee65d03b7ec6</t>
  </si>
  <si>
    <t>Objective context SHA256: 31a7c64c9e256b901009aa7e7fa92cc04e60031517c071bdc8129d358a2d540c</t>
  </si>
  <si>
    <t>Source provenance and full saved precision: see comments on the Exact SKR cells. Excel formulas drive all losses and acceptance.</t>
  </si>
  <si>
    <t>Fixed V_A = 5.5 SNU | vary nu_raw</t>
  </si>
  <si>
    <t>nu_raw</t>
  </si>
</sst>
</file>

<file path=xl/styles.xml><?xml version="1.0" encoding="utf-8"?>
<styleSheet xmlns="http://schemas.openxmlformats.org/spreadsheetml/2006/main">
  <numFmts count="6">
    <numFmt numFmtId="164" formatCode="0.00000000000000"/>
    <numFmt numFmtId="165" formatCode="0.00%"/>
    <numFmt numFmtId="166" formatCode="0.0000"/>
    <numFmt numFmtId="167" formatCode="0.00000000E+00"/>
    <numFmt numFmtId="168" formatCode="0.00"/>
    <numFmt numFmtId="169" formatCode="0.0000%"/>
  </numFmts>
  <fonts count="15">
    <font>
      <sz val="11"/>
      <color theme="1"/>
      <name val="Calibri"/>
      <family val="2"/>
      <scheme val="minor"/>
    </font>
    <font>
      <b/>
      <sz val="23"/>
      <color rgb="FFFFFFFF"/>
      <name val="Calibri"/>
      <family val="2"/>
      <scheme val="minor"/>
    </font>
    <font>
      <sz val="12"/>
      <color rgb="FF16324F"/>
      <name val="Calibri"/>
      <family val="2"/>
      <scheme val="minor"/>
    </font>
    <font>
      <sz val="11"/>
      <color rgb="FF596675"/>
      <name val="Calibri"/>
      <family val="2"/>
      <scheme val="minor"/>
    </font>
    <font>
      <b/>
      <sz val="11"/>
      <color rgb="FF16324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392B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87E7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87E7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596675"/>
      <name val="Calibri"/>
      <family val="2"/>
      <scheme val="minor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F0F5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1C2"/>
        <bgColor indexed="64"/>
      </patternFill>
    </fill>
  </fills>
  <borders count="3">
    <border>
      <left/>
      <right/>
      <top/>
      <bottom/>
      <diagonal/>
    </border>
    <border>
      <left style="thin">
        <color rgb="FF16324F"/>
      </left>
      <right style="thin">
        <color rgb="FF16324F"/>
      </right>
      <top style="thin">
        <color rgb="FF16324F"/>
      </top>
      <bottom style="thin">
        <color rgb="FF16324F"/>
      </bottom>
      <diagonal/>
    </border>
    <border>
      <left/>
      <right/>
      <top/>
      <bottom style="thin">
        <color rgb="FFDEE5EE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5" fillId="2" borderId="1" xfId="0" applyFont="1" applyFill="1" applyBorder="1" applyAlignment="1">
      <alignment vertical="center" wrapText="1"/>
    </xf>
    <xf numFmtId="168" fontId="6" fillId="3" borderId="2" xfId="0" applyNumberFormat="1" applyFont="1" applyFill="1" applyBorder="1" applyAlignment="1">
      <alignment vertical="center"/>
    </xf>
    <xf numFmtId="164" fontId="6" fillId="3" borderId="2" xfId="0" applyNumberFormat="1" applyFont="1" applyFill="1" applyBorder="1" applyAlignment="1">
      <alignment vertical="center"/>
    </xf>
    <xf numFmtId="167" fontId="6" fillId="3" borderId="2" xfId="0" applyNumberFormat="1" applyFont="1" applyFill="1" applyBorder="1" applyAlignment="1">
      <alignment vertical="center"/>
    </xf>
    <xf numFmtId="169" fontId="6" fillId="3" borderId="2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vertical="center"/>
    </xf>
    <xf numFmtId="168" fontId="6" fillId="4" borderId="2" xfId="0" applyNumberFormat="1" applyFont="1" applyFill="1" applyBorder="1" applyAlignment="1">
      <alignment vertical="center"/>
    </xf>
    <xf numFmtId="164" fontId="6" fillId="4" borderId="2" xfId="0" applyNumberFormat="1" applyFont="1" applyFill="1" applyBorder="1" applyAlignment="1">
      <alignment vertical="center"/>
    </xf>
    <xf numFmtId="167" fontId="6" fillId="4" borderId="2" xfId="0" applyNumberFormat="1" applyFont="1" applyFill="1" applyBorder="1" applyAlignment="1">
      <alignment vertical="center"/>
    </xf>
    <xf numFmtId="169" fontId="6" fillId="4" borderId="2" xfId="0" applyNumberFormat="1" applyFont="1" applyFill="1" applyBorder="1" applyAlignment="1">
      <alignment vertical="center"/>
    </xf>
    <xf numFmtId="0" fontId="9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168" fontId="10" fillId="5" borderId="2" xfId="0" applyNumberFormat="1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vertical="center"/>
    </xf>
    <xf numFmtId="167" fontId="10" fillId="5" borderId="2" xfId="0" applyNumberFormat="1" applyFont="1" applyFill="1" applyBorder="1" applyAlignment="1">
      <alignment vertical="center"/>
    </xf>
    <xf numFmtId="169" fontId="10" fillId="5" borderId="2" xfId="0" applyNumberFormat="1" applyFont="1" applyFill="1" applyBorder="1" applyAlignment="1">
      <alignment vertical="center"/>
    </xf>
    <xf numFmtId="0" fontId="11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vertical="center"/>
    </xf>
    <xf numFmtId="0" fontId="13" fillId="0" borderId="0" xfId="0" applyFont="1"/>
    <xf numFmtId="166" fontId="6" fillId="3" borderId="2" xfId="0" applyNumberFormat="1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166" fontId="10" fillId="5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2">
    <dxf>
      <font>
        <b/>
        <color rgb="FF087E70"/>
      </font>
    </dxf>
    <dxf>
      <font>
        <b/>
        <color rgb="FFC0392B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Exact SKR — local zoom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Saved exact SKR</c:v>
          </c:tx>
          <c:spPr>
            <a:ln w="28575">
              <a:solidFill>
                <a:srgbClr val="2563EB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2563EB"/>
                </a:solidFill>
              </a:ln>
            </c:spPr>
          </c:marker>
          <c:xVal>
            <c:numRef>
              <c:f>'Fixed nu'!$A$12:$A$18</c:f>
              <c:numCache>
                <c:formatCode>General</c:formatCode>
                <c:ptCount val="7"/>
                <c:pt idx="0">
                  <c:v>5.3</c:v>
                </c:pt>
                <c:pt idx="1">
                  <c:v>5.4</c:v>
                </c:pt>
                <c:pt idx="2">
                  <c:v>5.45</c:v>
                </c:pt>
                <c:pt idx="3">
                  <c:v>5.5</c:v>
                </c:pt>
                <c:pt idx="4">
                  <c:v>5.55</c:v>
                </c:pt>
                <c:pt idx="5">
                  <c:v>5.6</c:v>
                </c:pt>
                <c:pt idx="6">
                  <c:v>5.7</c:v>
                </c:pt>
              </c:numCache>
            </c:numRef>
          </c:xVal>
          <c:yVal>
            <c:numRef>
              <c:f>'Fixed nu'!$B$12:$B$18</c:f>
              <c:numCache>
                <c:formatCode>General</c:formatCode>
                <c:ptCount val="7"/>
                <c:pt idx="0">
                  <c:v>0.07795473107720619</c:v>
                </c:pt>
                <c:pt idx="1">
                  <c:v>0.07797458088717046</c:v>
                </c:pt>
                <c:pt idx="2">
                  <c:v>0.07797944573315274</c:v>
                </c:pt>
                <c:pt idx="3">
                  <c:v>0.07798099387393764</c:v>
                </c:pt>
                <c:pt idx="4">
                  <c:v>0.07797926607881778</c:v>
                </c:pt>
                <c:pt idx="5">
                  <c:v>0.07797430195807054</c:v>
                </c:pt>
                <c:pt idx="6">
                  <c:v>0.07795481827188011</c:v>
                </c:pt>
              </c:numCache>
            </c:numRef>
          </c:yVal>
        </c:ser>
        <c:ser>
          <c:idx val="1"/>
          <c:order val="1"/>
          <c:tx>
            <c:v>Reference optimum*</c:v>
          </c:tx>
          <c:spPr>
            <a:ln>
              <a:noFill/>
            </a:ln>
          </c:spPr>
          <c:marker>
            <c:symbol val="diamond"/>
            <c:size val="9"/>
            <c:spPr>
              <a:solidFill>
                <a:srgbClr val="F6C453"/>
              </a:solidFill>
              <a:ln>
                <a:solidFill>
                  <a:srgbClr val="B7791F"/>
                </a:solidFill>
              </a:ln>
            </c:spPr>
          </c:marker>
          <c:xVal>
            <c:numRef>
              <c:f>'Fixed nu'!$A$12:$A$18</c:f>
              <c:numCache>
                <c:formatCode>General</c:formatCode>
                <c:ptCount val="7"/>
                <c:pt idx="0">
                  <c:v>5.3</c:v>
                </c:pt>
                <c:pt idx="1">
                  <c:v>5.4</c:v>
                </c:pt>
                <c:pt idx="2">
                  <c:v>5.45</c:v>
                </c:pt>
                <c:pt idx="3">
                  <c:v>5.5</c:v>
                </c:pt>
                <c:pt idx="4">
                  <c:v>5.55</c:v>
                </c:pt>
                <c:pt idx="5">
                  <c:v>5.6</c:v>
                </c:pt>
                <c:pt idx="6">
                  <c:v>5.7</c:v>
                </c:pt>
              </c:numCache>
            </c:numRef>
          </c:xVal>
          <c:yVal>
            <c:numRef>
              <c:f>'Fixed nu'!$I$12:$I$18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0.07798099387393764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5.7"/>
          <c:min val="5.3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V_A (SNU)</a:t>
                </a:r>
              </a:p>
            </c:rich>
          </c:tx>
          <c:layout/>
        </c:title>
        <c:numFmt formatCode="0.00" sourceLinked="0"/>
        <c:tickLblPos val="nextTo"/>
        <c:crossAx val="50010002"/>
        <c:crosses val="autoZero"/>
        <c:crossBetween val="midCat"/>
        <c:majorUnit val="0.1"/>
      </c:valAx>
      <c:valAx>
        <c:axId val="50010002"/>
        <c:scaling>
          <c:orientation val="minMax"/>
          <c:max val="0.07798624643328393"/>
          <c:min val="0.0779494785178599"/>
        </c:scaling>
        <c:axPos val="l"/>
        <c:majorGridlines>
          <c:spPr>
            <a:ln>
              <a:solidFill>
                <a:srgbClr val="E5EA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SKR (bits/use)</a:t>
                </a:r>
              </a:p>
            </c:rich>
          </c:tx>
          <c:layout/>
        </c:title>
        <c:numFmt formatCode="0.00000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spPr>
    <a:solidFill>
      <a:srgbClr val="FFFFFF"/>
    </a:solidFill>
    <a:ln>
      <a:solidFill>
        <a:srgbClr val="DEE5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Relative SKR loss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Relative loss</c:v>
          </c:tx>
          <c:spPr>
            <a:ln w="28575">
              <a:solidFill>
                <a:srgbClr val="087E70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087E70"/>
                </a:solidFill>
              </a:ln>
            </c:spPr>
          </c:marker>
          <c:xVal>
            <c:numRef>
              <c:f>'Fixed nu'!$A$12:$A$18</c:f>
              <c:numCache>
                <c:formatCode>General</c:formatCode>
                <c:ptCount val="7"/>
                <c:pt idx="0">
                  <c:v>5.3</c:v>
                </c:pt>
                <c:pt idx="1">
                  <c:v>5.4</c:v>
                </c:pt>
                <c:pt idx="2">
                  <c:v>5.45</c:v>
                </c:pt>
                <c:pt idx="3">
                  <c:v>5.5</c:v>
                </c:pt>
                <c:pt idx="4">
                  <c:v>5.55</c:v>
                </c:pt>
                <c:pt idx="5">
                  <c:v>5.6</c:v>
                </c:pt>
                <c:pt idx="6">
                  <c:v>5.7</c:v>
                </c:pt>
              </c:numCache>
            </c:numRef>
          </c:xVal>
          <c:yVal>
            <c:numRef>
              <c:f>'Fixed nu'!$D$12:$D$18</c:f>
              <c:numCache>
                <c:formatCode>General</c:formatCode>
                <c:ptCount val="7"/>
                <c:pt idx="0">
                  <c:v>0.0003367845859199174</c:v>
                </c:pt>
                <c:pt idx="1">
                  <c:v>8.223781781425171e-05</c:v>
                </c:pt>
                <c:pt idx="2">
                  <c:v>1.9852796277568732e-05</c:v>
                </c:pt>
                <c:pt idx="3">
                  <c:v>0.0</c:v>
                </c:pt>
                <c:pt idx="4">
                  <c:v>2.2156618350605737e-05</c:v>
                </c:pt>
                <c:pt idx="5">
                  <c:v>8.581470348948737e-05</c:v>
                </c:pt>
                <c:pt idx="6">
                  <c:v>0.0003356664330265784</c:v>
                </c:pt>
              </c:numCache>
            </c:numRef>
          </c:yVal>
        </c:ser>
        <c:ser>
          <c:idx val="1"/>
          <c:order val="1"/>
          <c:tx>
            <c:v>0.01% threshold</c:v>
          </c:tx>
          <c:spPr>
            <a:ln w="19050">
              <a:solidFill>
                <a:srgbClr val="C0392B"/>
              </a:solidFill>
              <a:prstDash val="dash"/>
            </a:ln>
          </c:spPr>
          <c:marker>
            <c:symbol val="none"/>
          </c:marker>
          <c:xVal>
            <c:numRef>
              <c:f>'Fixed nu'!$A$12:$A$18</c:f>
              <c:numCache>
                <c:formatCode>General</c:formatCode>
                <c:ptCount val="7"/>
                <c:pt idx="0">
                  <c:v>5.3</c:v>
                </c:pt>
                <c:pt idx="1">
                  <c:v>5.4</c:v>
                </c:pt>
                <c:pt idx="2">
                  <c:v>5.45</c:v>
                </c:pt>
                <c:pt idx="3">
                  <c:v>5.5</c:v>
                </c:pt>
                <c:pt idx="4">
                  <c:v>5.55</c:v>
                </c:pt>
                <c:pt idx="5">
                  <c:v>5.6</c:v>
                </c:pt>
                <c:pt idx="6">
                  <c:v>5.7</c:v>
                </c:pt>
              </c:numCache>
            </c:numRef>
          </c:xVal>
          <c:yVal>
            <c:numRef>
              <c:f>'Fixed nu'!$H$12:$H$18</c:f>
              <c:numCache>
                <c:formatCode>General</c:formatCode>
                <c:ptCount val="7"/>
                <c:pt idx="0">
                  <c:v>0.0001</c:v>
                </c:pt>
                <c:pt idx="1">
                  <c:v>0.0001</c:v>
                </c:pt>
                <c:pt idx="2">
                  <c:v>0.0001</c:v>
                </c:pt>
                <c:pt idx="3">
                  <c:v>0.0001</c:v>
                </c:pt>
                <c:pt idx="4">
                  <c:v>0.0001</c:v>
                </c:pt>
                <c:pt idx="5">
                  <c:v>0.0001</c:v>
                </c:pt>
                <c:pt idx="6">
                  <c:v>0.0001</c:v>
                </c:pt>
              </c:numCache>
            </c:numRef>
          </c:yVal>
        </c:ser>
        <c:ser>
          <c:idx val="2"/>
          <c:order val="2"/>
          <c:tx>
            <c:v>Reference optimum*</c:v>
          </c:tx>
          <c:spPr>
            <a:ln>
              <a:noFill/>
            </a:ln>
          </c:spPr>
          <c:marker>
            <c:symbol val="diamond"/>
            <c:size val="9"/>
            <c:spPr>
              <a:solidFill>
                <a:srgbClr val="F6C453"/>
              </a:solidFill>
              <a:ln>
                <a:solidFill>
                  <a:srgbClr val="B7791F"/>
                </a:solidFill>
              </a:ln>
            </c:spPr>
          </c:marker>
          <c:xVal>
            <c:numRef>
              <c:f>'Fixed nu'!$A$12:$A$18</c:f>
              <c:numCache>
                <c:formatCode>General</c:formatCode>
                <c:ptCount val="7"/>
                <c:pt idx="0">
                  <c:v>5.3</c:v>
                </c:pt>
                <c:pt idx="1">
                  <c:v>5.4</c:v>
                </c:pt>
                <c:pt idx="2">
                  <c:v>5.45</c:v>
                </c:pt>
                <c:pt idx="3">
                  <c:v>5.5</c:v>
                </c:pt>
                <c:pt idx="4">
                  <c:v>5.55</c:v>
                </c:pt>
                <c:pt idx="5">
                  <c:v>5.6</c:v>
                </c:pt>
                <c:pt idx="6">
                  <c:v>5.7</c:v>
                </c:pt>
              </c:numCache>
            </c:numRef>
          </c:xVal>
          <c:yVal>
            <c:numRef>
              <c:f>'Fixed nu'!$J$12:$J$18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  <c:max val="5.7"/>
          <c:min val="5.3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V_A (SNU)</a:t>
                </a:r>
              </a:p>
            </c:rich>
          </c:tx>
          <c:layout/>
        </c:title>
        <c:numFmt formatCode="0.00" sourceLinked="0"/>
        <c:tickLblPos val="nextTo"/>
        <c:crossAx val="50020002"/>
        <c:crosses val="autoZero"/>
        <c:crossBetween val="midCat"/>
        <c:majorUnit val="0.1"/>
      </c:valAx>
      <c:valAx>
        <c:axId val="50020002"/>
        <c:scaling>
          <c:orientation val="minMax"/>
          <c:min val="0"/>
        </c:scaling>
        <c:axPos val="l"/>
        <c:majorGridlines>
          <c:spPr>
            <a:ln>
              <a:solidFill>
                <a:srgbClr val="E5EA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Relative loss (%)</a:t>
                </a:r>
              </a:p>
            </c:rich>
          </c:tx>
          <c:layout/>
        </c:title>
        <c:numFmt formatCode="0.000%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spPr>
    <a:solidFill>
      <a:srgbClr val="FFFFFF"/>
    </a:solidFill>
    <a:ln>
      <a:solidFill>
        <a:srgbClr val="DEE5EE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Exact SKR — local zoom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Saved exact SKR</c:v>
          </c:tx>
          <c:spPr>
            <a:ln w="28575">
              <a:solidFill>
                <a:srgbClr val="2563EB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2563EB"/>
                </a:solidFill>
              </a:ln>
            </c:spPr>
          </c:marker>
          <c:xVal>
            <c:numRef>
              <c:f>'Fixed VA'!$A$12:$A$16</c:f>
              <c:numCache>
                <c:formatCode>General</c:formatCode>
                <c:ptCount val="5"/>
                <c:pt idx="0">
                  <c:v>0.16</c:v>
                </c:pt>
                <c:pt idx="1">
                  <c:v>0.1625</c:v>
                </c:pt>
                <c:pt idx="2">
                  <c:v>0.165</c:v>
                </c:pt>
                <c:pt idx="3">
                  <c:v>0.1675</c:v>
                </c:pt>
                <c:pt idx="4">
                  <c:v>0.17</c:v>
                </c:pt>
              </c:numCache>
            </c:numRef>
          </c:xVal>
          <c:yVal>
            <c:numRef>
              <c:f>'Fixed VA'!$B$12:$B$16</c:f>
              <c:numCache>
                <c:formatCode>General</c:formatCode>
                <c:ptCount val="5"/>
                <c:pt idx="0">
                  <c:v>0.07797104999097981</c:v>
                </c:pt>
                <c:pt idx="1">
                  <c:v>0.07797905612029876</c:v>
                </c:pt>
                <c:pt idx="2">
                  <c:v>0.07798099387393764</c:v>
                </c:pt>
                <c:pt idx="3">
                  <c:v>0.07797664855298636</c:v>
                </c:pt>
                <c:pt idx="4">
                  <c:v>0.07796600001405829</c:v>
                </c:pt>
              </c:numCache>
            </c:numRef>
          </c:yVal>
        </c:ser>
        <c:ser>
          <c:idx val="1"/>
          <c:order val="1"/>
          <c:tx>
            <c:v>Reference optimum*</c:v>
          </c:tx>
          <c:spPr>
            <a:ln>
              <a:noFill/>
            </a:ln>
          </c:spPr>
          <c:marker>
            <c:symbol val="diamond"/>
            <c:size val="9"/>
            <c:spPr>
              <a:solidFill>
                <a:srgbClr val="F6C453"/>
              </a:solidFill>
              <a:ln>
                <a:solidFill>
                  <a:srgbClr val="B7791F"/>
                </a:solidFill>
              </a:ln>
            </c:spPr>
          </c:marker>
          <c:xVal>
            <c:numRef>
              <c:f>'Fixed VA'!$A$12:$A$16</c:f>
              <c:numCache>
                <c:formatCode>General</c:formatCode>
                <c:ptCount val="5"/>
                <c:pt idx="0">
                  <c:v>0.16</c:v>
                </c:pt>
                <c:pt idx="1">
                  <c:v>0.1625</c:v>
                </c:pt>
                <c:pt idx="2">
                  <c:v>0.165</c:v>
                </c:pt>
                <c:pt idx="3">
                  <c:v>0.1675</c:v>
                </c:pt>
                <c:pt idx="4">
                  <c:v>0.17</c:v>
                </c:pt>
              </c:numCache>
            </c:numRef>
          </c:xVal>
          <c:yVal>
            <c:numRef>
              <c:f>'Fixed VA'!$I$12:$I$16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0.07798099387393764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  <c:max val="0.17"/>
          <c:min val="0.16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nu_raw</a:t>
                </a:r>
              </a:p>
            </c:rich>
          </c:tx>
          <c:layout/>
        </c:title>
        <c:numFmt formatCode="0.0000" sourceLinked="0"/>
        <c:tickLblPos val="nextTo"/>
        <c:crossAx val="50030002"/>
        <c:crosses val="autoZero"/>
        <c:crossBetween val="midCat"/>
        <c:majorUnit val="0.0025"/>
      </c:valAx>
      <c:valAx>
        <c:axId val="50030002"/>
        <c:scaling>
          <c:orientation val="minMax"/>
          <c:max val="0.07798399264591352"/>
          <c:min val="0.07796300124208241"/>
        </c:scaling>
        <c:axPos val="l"/>
        <c:majorGridlines>
          <c:spPr>
            <a:ln>
              <a:solidFill>
                <a:srgbClr val="E5EA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SKR (bits/use)</a:t>
                </a:r>
              </a:p>
            </c:rich>
          </c:tx>
          <c:layout/>
        </c:title>
        <c:numFmt formatCode="0.000000" sourceLinked="0"/>
        <c:tickLblPos val="nextTo"/>
        <c:crossAx val="5003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spPr>
    <a:solidFill>
      <a:srgbClr val="FFFFFF"/>
    </a:solidFill>
    <a:ln>
      <a:solidFill>
        <a:srgbClr val="DEE5EE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Relative SKR loss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Relative loss</c:v>
          </c:tx>
          <c:spPr>
            <a:ln w="28575">
              <a:solidFill>
                <a:srgbClr val="087E70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087E70"/>
                </a:solidFill>
              </a:ln>
            </c:spPr>
          </c:marker>
          <c:xVal>
            <c:numRef>
              <c:f>'Fixed VA'!$A$12:$A$16</c:f>
              <c:numCache>
                <c:formatCode>General</c:formatCode>
                <c:ptCount val="5"/>
                <c:pt idx="0">
                  <c:v>0.16</c:v>
                </c:pt>
                <c:pt idx="1">
                  <c:v>0.1625</c:v>
                </c:pt>
                <c:pt idx="2">
                  <c:v>0.165</c:v>
                </c:pt>
                <c:pt idx="3">
                  <c:v>0.1675</c:v>
                </c:pt>
                <c:pt idx="4">
                  <c:v>0.17</c:v>
                </c:pt>
              </c:numCache>
            </c:numRef>
          </c:xVal>
          <c:yVal>
            <c:numRef>
              <c:f>'Fixed VA'!$D$12:$D$16</c:f>
              <c:numCache>
                <c:formatCode>General</c:formatCode>
                <c:ptCount val="5"/>
                <c:pt idx="0">
                  <c:v>0.00012751675073422738</c:v>
                </c:pt>
                <c:pt idx="1">
                  <c:v>2.4849050295684415e-05</c:v>
                </c:pt>
                <c:pt idx="2">
                  <c:v>0.0</c:v>
                </c:pt>
                <c:pt idx="3">
                  <c:v>5.572282084922912e-05</c:v>
                </c:pt>
                <c:pt idx="4">
                  <c:v>0.00019227582433216782</c:v>
                </c:pt>
              </c:numCache>
            </c:numRef>
          </c:yVal>
        </c:ser>
        <c:ser>
          <c:idx val="1"/>
          <c:order val="1"/>
          <c:tx>
            <c:v>0.01% threshold</c:v>
          </c:tx>
          <c:spPr>
            <a:ln w="19050">
              <a:solidFill>
                <a:srgbClr val="C0392B"/>
              </a:solidFill>
              <a:prstDash val="dash"/>
            </a:ln>
          </c:spPr>
          <c:marker>
            <c:symbol val="none"/>
          </c:marker>
          <c:xVal>
            <c:numRef>
              <c:f>'Fixed VA'!$A$12:$A$16</c:f>
              <c:numCache>
                <c:formatCode>General</c:formatCode>
                <c:ptCount val="5"/>
                <c:pt idx="0">
                  <c:v>0.16</c:v>
                </c:pt>
                <c:pt idx="1">
                  <c:v>0.1625</c:v>
                </c:pt>
                <c:pt idx="2">
                  <c:v>0.165</c:v>
                </c:pt>
                <c:pt idx="3">
                  <c:v>0.1675</c:v>
                </c:pt>
                <c:pt idx="4">
                  <c:v>0.17</c:v>
                </c:pt>
              </c:numCache>
            </c:numRef>
          </c:xVal>
          <c:yVal>
            <c:numRef>
              <c:f>'Fixed VA'!$H$12:$H$16</c:f>
              <c:numCache>
                <c:formatCode>General</c:formatCode>
                <c:ptCount val="5"/>
                <c:pt idx="0">
                  <c:v>0.0001</c:v>
                </c:pt>
                <c:pt idx="1">
                  <c:v>0.0001</c:v>
                </c:pt>
                <c:pt idx="2">
                  <c:v>0.0001</c:v>
                </c:pt>
                <c:pt idx="3">
                  <c:v>0.0001</c:v>
                </c:pt>
                <c:pt idx="4">
                  <c:v>0.0001</c:v>
                </c:pt>
              </c:numCache>
            </c:numRef>
          </c:yVal>
        </c:ser>
        <c:ser>
          <c:idx val="2"/>
          <c:order val="2"/>
          <c:tx>
            <c:v>Reference optimum*</c:v>
          </c:tx>
          <c:spPr>
            <a:ln>
              <a:noFill/>
            </a:ln>
          </c:spPr>
          <c:marker>
            <c:symbol val="diamond"/>
            <c:size val="9"/>
            <c:spPr>
              <a:solidFill>
                <a:srgbClr val="F6C453"/>
              </a:solidFill>
              <a:ln>
                <a:solidFill>
                  <a:srgbClr val="B7791F"/>
                </a:solidFill>
              </a:ln>
            </c:spPr>
          </c:marker>
          <c:xVal>
            <c:numRef>
              <c:f>'Fixed VA'!$A$12:$A$16</c:f>
              <c:numCache>
                <c:formatCode>General</c:formatCode>
                <c:ptCount val="5"/>
                <c:pt idx="0">
                  <c:v>0.16</c:v>
                </c:pt>
                <c:pt idx="1">
                  <c:v>0.1625</c:v>
                </c:pt>
                <c:pt idx="2">
                  <c:v>0.165</c:v>
                </c:pt>
                <c:pt idx="3">
                  <c:v>0.1675</c:v>
                </c:pt>
                <c:pt idx="4">
                  <c:v>0.17</c:v>
                </c:pt>
              </c:numCache>
            </c:numRef>
          </c:xVal>
          <c:yVal>
            <c:numRef>
              <c:f>'Fixed VA'!$J$12:$J$16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  <c:max val="0.17"/>
          <c:min val="0.16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nu_raw</a:t>
                </a:r>
              </a:p>
            </c:rich>
          </c:tx>
          <c:layout/>
        </c:title>
        <c:numFmt formatCode="0.0000" sourceLinked="0"/>
        <c:tickLblPos val="nextTo"/>
        <c:crossAx val="50040002"/>
        <c:crosses val="autoZero"/>
        <c:crossBetween val="midCat"/>
        <c:majorUnit val="0.0025"/>
      </c:valAx>
      <c:valAx>
        <c:axId val="50040002"/>
        <c:scaling>
          <c:orientation val="minMax"/>
          <c:min val="0"/>
        </c:scaling>
        <c:axPos val="l"/>
        <c:majorGridlines>
          <c:spPr>
            <a:ln>
              <a:solidFill>
                <a:srgbClr val="E5EA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Relative loss (%)</a:t>
                </a:r>
              </a:p>
            </c:rich>
          </c:tx>
          <c:layout/>
        </c:title>
        <c:numFmt formatCode="0.000%" sourceLinked="0"/>
        <c:tickLblPos val="nextTo"/>
        <c:crossAx val="5004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spPr>
    <a:solidFill>
      <a:srgbClr val="FFFFFF"/>
    </a:solidFill>
    <a:ln>
      <a:solidFill>
        <a:srgbClr val="DEE5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2</xdr:col>
      <xdr:colOff>1428750</xdr:colOff>
      <xdr:row>40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5</xdr:col>
      <xdr:colOff>1428750</xdr:colOff>
      <xdr:row>40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2</xdr:col>
      <xdr:colOff>1428750</xdr:colOff>
      <xdr:row>40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5</xdr:col>
      <xdr:colOff>1428750</xdr:colOff>
      <xdr:row>40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563EB"/>
    <pageSetUpPr fitToPage="1"/>
  </sheetPr>
  <dimension ref="A1:J48"/>
  <sheetViews>
    <sheetView showGridLines="0" tabSelected="1" zoomScale="90" zoomScaleNormal="9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15"/>
  <cols>
    <col min="1" max="1" width="16.7109375" customWidth="1"/>
    <col min="2" max="2" width="24.7109375" customWidth="1"/>
    <col min="3" max="3" width="23.7109375" customWidth="1"/>
    <col min="4" max="4" width="21.7109375" customWidth="1"/>
    <col min="5" max="5" width="19.7109375" customWidth="1"/>
    <col min="6" max="6" width="25.7109375" customWidth="1"/>
    <col min="8" max="10" width="0" hidden="1" customWidth="1"/>
  </cols>
  <sheetData>
    <row r="1" spans="1:10" ht="38" customHeight="1">
      <c r="A1" s="1" t="s">
        <v>0</v>
      </c>
      <c r="B1" s="1"/>
      <c r="C1" s="1"/>
      <c r="D1" s="1"/>
      <c r="E1" s="1"/>
      <c r="F1" s="1"/>
    </row>
    <row r="2" spans="1:10">
      <c r="A2" s="2" t="s">
        <v>1</v>
      </c>
      <c r="B2" s="2"/>
      <c r="C2" s="2"/>
      <c r="D2" s="2"/>
      <c r="E2" s="2"/>
      <c r="F2" s="2"/>
    </row>
    <row r="3" spans="1:10">
      <c r="A3" s="3" t="s">
        <v>2</v>
      </c>
      <c r="B3" s="3"/>
      <c r="C3" s="3"/>
      <c r="D3" s="3"/>
      <c r="E3" s="3"/>
      <c r="F3" s="3"/>
    </row>
    <row r="5" spans="1:10">
      <c r="A5" s="4" t="s">
        <v>3</v>
      </c>
      <c r="B5" s="5">
        <v>0.07798099387393764</v>
      </c>
      <c r="D5" s="4" t="s">
        <v>4</v>
      </c>
      <c r="E5" s="6">
        <v>0.0001</v>
      </c>
    </row>
    <row r="6" spans="1:10">
      <c r="A6" s="4" t="s">
        <v>5</v>
      </c>
      <c r="B6" s="7">
        <v>0.165</v>
      </c>
      <c r="D6" s="4" t="s">
        <v>6</v>
      </c>
      <c r="E6" s="8">
        <f>$B$5*$E$5</f>
        <v>7.798099387393764e-06</v>
      </c>
    </row>
    <row r="7" spans="1:10">
      <c r="A7" s="4" t="s">
        <v>7</v>
      </c>
      <c r="B7" s="9">
        <v>5.5</v>
      </c>
    </row>
    <row r="8" spans="1:10" ht="28" customHeight="1">
      <c r="A8" s="3" t="s">
        <v>8</v>
      </c>
      <c r="B8" s="3"/>
      <c r="C8" s="3"/>
      <c r="D8" s="3"/>
      <c r="E8" s="3"/>
      <c r="F8" s="3"/>
    </row>
    <row r="9" spans="1:10" ht="28" customHeight="1">
      <c r="A9" s="3" t="s">
        <v>9</v>
      </c>
      <c r="B9" s="3"/>
      <c r="C9" s="3"/>
      <c r="D9" s="3"/>
      <c r="E9" s="3"/>
      <c r="F9" s="3"/>
    </row>
    <row r="11" spans="1:10" ht="36" customHeight="1">
      <c r="A11" s="10" t="s">
        <v>10</v>
      </c>
      <c r="B11" s="10" t="s">
        <v>11</v>
      </c>
      <c r="C11" s="10" t="s">
        <v>12</v>
      </c>
      <c r="D11" s="10" t="s">
        <v>13</v>
      </c>
      <c r="E11" s="10" t="s">
        <v>14</v>
      </c>
      <c r="F11" s="10" t="s">
        <v>15</v>
      </c>
    </row>
    <row r="12" spans="1:10" ht="28" customHeight="1">
      <c r="A12" s="11">
        <v>5.3</v>
      </c>
      <c r="B12" s="12">
        <v>0.07795473107720619</v>
      </c>
      <c r="C12" s="13">
        <f>IF(ISNUMBER(B12),$B$5-B12,NA())</f>
        <v>2.6262796731457705e-05</v>
      </c>
      <c r="D12" s="14">
        <f>IF(ISNUMBER(B12),C12/$B$5,NA())</f>
        <v>0.0003367845859199174</v>
      </c>
      <c r="E12" s="15" t="str">
        <f>IF(ISNUMBER(B12),IF(D12&lt;=$E$5,"ACCEPT","REJECT"),"MISSING_EXACT")</f>
        <v>REJECT</v>
      </c>
      <c r="F12" s="16" t="s">
        <v>16</v>
      </c>
      <c r="H12">
        <f>$E$5</f>
        <v>0.0001</v>
      </c>
      <c r="I12" t="e">
        <f>IF(AND(ISNUMBER(B12),A12=$B$7),B12,NA())</f>
        <v>#N/A</v>
      </c>
      <c r="J12" t="e">
        <f>IF(AND(ISNUMBER(B12),A12=$B$7),D12,NA())</f>
        <v>#N/A</v>
      </c>
    </row>
    <row r="13" spans="1:10" ht="28" customHeight="1">
      <c r="A13" s="17">
        <v>5.4</v>
      </c>
      <c r="B13" s="18">
        <v>0.07797458088717046</v>
      </c>
      <c r="C13" s="19">
        <f>IF(ISNUMBER(B13),$B$5-B13,NA())</f>
        <v>6.412986767179163e-06</v>
      </c>
      <c r="D13" s="20">
        <f>IF(ISNUMBER(B13),C13/$B$5,NA())</f>
        <v>8.223781781425171e-05</v>
      </c>
      <c r="E13" s="21" t="str">
        <f>IF(ISNUMBER(B13),IF(D13&lt;=$E$5,"ACCEPT","REJECT"),"MISSING_EXACT")</f>
        <v>ACCEPT</v>
      </c>
      <c r="F13" s="22" t="s">
        <v>16</v>
      </c>
      <c r="H13">
        <f>$E$5</f>
        <v>0.0001</v>
      </c>
      <c r="I13" t="e">
        <f>IF(AND(ISNUMBER(B13),A13=$B$7),B13,NA())</f>
        <v>#N/A</v>
      </c>
      <c r="J13" t="e">
        <f>IF(AND(ISNUMBER(B13),A13=$B$7),D13,NA())</f>
        <v>#N/A</v>
      </c>
    </row>
    <row r="14" spans="1:10" ht="28" customHeight="1">
      <c r="A14" s="11">
        <v>5.45</v>
      </c>
      <c r="B14" s="12">
        <v>0.07797944573315274</v>
      </c>
      <c r="C14" s="13">
        <f>IF(ISNUMBER(B14),$B$5-B14,NA())</f>
        <v>1.5481407849016193e-06</v>
      </c>
      <c r="D14" s="14">
        <f>IF(ISNUMBER(B14),C14/$B$5,NA())</f>
        <v>1.9852796277568732e-05</v>
      </c>
      <c r="E14" s="23" t="str">
        <f>IF(ISNUMBER(B14),IF(D14&lt;=$E$5,"ACCEPT","REJECT"),"MISSING_EXACT")</f>
        <v>ACCEPT</v>
      </c>
      <c r="F14" s="16" t="s">
        <v>16</v>
      </c>
      <c r="H14">
        <f>$E$5</f>
        <v>0.0001</v>
      </c>
      <c r="I14" t="e">
        <f>IF(AND(ISNUMBER(B14),A14=$B$7),B14,NA())</f>
        <v>#N/A</v>
      </c>
      <c r="J14" t="e">
        <f>IF(AND(ISNUMBER(B14),A14=$B$7),D14,NA())</f>
        <v>#N/A</v>
      </c>
    </row>
    <row r="15" spans="1:10" ht="28" customHeight="1">
      <c r="A15" s="24">
        <v>5.5</v>
      </c>
      <c r="B15" s="25">
        <v>0.07798099387393764</v>
      </c>
      <c r="C15" s="26">
        <f>IF(ISNUMBER(B15),$B$5-B15,NA())</f>
        <v>0.0</v>
      </c>
      <c r="D15" s="27">
        <f>IF(ISNUMBER(B15),C15/$B$5,NA())</f>
        <v>0.0</v>
      </c>
      <c r="E15" s="28" t="str">
        <f>IF(ISNUMBER(B15),IF(D15&lt;=$E$5,"ACCEPT","REJECT"),"MISSING_EXACT")</f>
        <v>ACCEPT</v>
      </c>
      <c r="F15" s="29" t="s">
        <v>17</v>
      </c>
      <c r="H15">
        <f>$E$5</f>
        <v>0.0001</v>
      </c>
      <c r="I15">
        <f>IF(AND(ISNUMBER(B15),A15=$B$7),B15,NA())</f>
        <v>0.07798099387393764</v>
      </c>
      <c r="J15">
        <f>IF(AND(ISNUMBER(B15),A15=$B$7),D15,NA())</f>
        <v>0.0</v>
      </c>
    </row>
    <row r="16" spans="1:10" ht="28" customHeight="1">
      <c r="A16" s="11">
        <v>5.55</v>
      </c>
      <c r="B16" s="12">
        <v>0.07797926607881778</v>
      </c>
      <c r="C16" s="13">
        <f>IF(ISNUMBER(B16),$B$5-B16,NA())</f>
        <v>1.7277951198657604e-06</v>
      </c>
      <c r="D16" s="14">
        <f>IF(ISNUMBER(B16),C16/$B$5,NA())</f>
        <v>2.2156618350605737e-05</v>
      </c>
      <c r="E16" s="23" t="str">
        <f>IF(ISNUMBER(B16),IF(D16&lt;=$E$5,"ACCEPT","REJECT"),"MISSING_EXACT")</f>
        <v>ACCEPT</v>
      </c>
      <c r="F16" s="16" t="s">
        <v>16</v>
      </c>
      <c r="H16">
        <f>$E$5</f>
        <v>0.0001</v>
      </c>
      <c r="I16" t="e">
        <f>IF(AND(ISNUMBER(B16),A16=$B$7),B16,NA())</f>
        <v>#N/A</v>
      </c>
      <c r="J16" t="e">
        <f>IF(AND(ISNUMBER(B16),A16=$B$7),D16,NA())</f>
        <v>#N/A</v>
      </c>
    </row>
    <row r="17" spans="1:10" ht="28" customHeight="1">
      <c r="A17" s="17">
        <v>5.6</v>
      </c>
      <c r="B17" s="18">
        <v>0.07797430195807054</v>
      </c>
      <c r="C17" s="19">
        <f>IF(ISNUMBER(B17),$B$5-B17,NA())</f>
        <v>6.69191586710749e-06</v>
      </c>
      <c r="D17" s="20">
        <f>IF(ISNUMBER(B17),C17/$B$5,NA())</f>
        <v>8.581470348948737e-05</v>
      </c>
      <c r="E17" s="21" t="str">
        <f>IF(ISNUMBER(B17),IF(D17&lt;=$E$5,"ACCEPT","REJECT"),"MISSING_EXACT")</f>
        <v>ACCEPT</v>
      </c>
      <c r="F17" s="22" t="s">
        <v>16</v>
      </c>
      <c r="H17">
        <f>$E$5</f>
        <v>0.0001</v>
      </c>
      <c r="I17" t="e">
        <f>IF(AND(ISNUMBER(B17),A17=$B$7),B17,NA())</f>
        <v>#N/A</v>
      </c>
      <c r="J17" t="e">
        <f>IF(AND(ISNUMBER(B17),A17=$B$7),D17,NA())</f>
        <v>#N/A</v>
      </c>
    </row>
    <row r="18" spans="1:10" ht="28" customHeight="1">
      <c r="A18" s="11">
        <v>5.7</v>
      </c>
      <c r="B18" s="12">
        <v>0.07795481827188011</v>
      </c>
      <c r="C18" s="13">
        <f>IF(ISNUMBER(B18),$B$5-B18,NA())</f>
        <v>2.617560205753211e-05</v>
      </c>
      <c r="D18" s="14">
        <f>IF(ISNUMBER(B18),C18/$B$5,NA())</f>
        <v>0.0003356664330265784</v>
      </c>
      <c r="E18" s="15" t="str">
        <f>IF(ISNUMBER(B18),IF(D18&lt;=$E$5,"ACCEPT","REJECT"),"MISSING_EXACT")</f>
        <v>REJECT</v>
      </c>
      <c r="F18" s="16" t="s">
        <v>16</v>
      </c>
      <c r="H18">
        <f>$E$5</f>
        <v>0.0001</v>
      </c>
      <c r="I18" t="e">
        <f>IF(AND(ISNUMBER(B18),A18=$B$7),B18,NA())</f>
        <v>#N/A</v>
      </c>
      <c r="J18" t="e">
        <f>IF(AND(ISNUMBER(B18),A18=$B$7),D18,NA())</f>
        <v>#N/A</v>
      </c>
    </row>
    <row r="21" spans="1:10" ht="31" customHeight="1">
      <c r="A21" s="3" t="s">
        <v>18</v>
      </c>
      <c r="B21" s="3"/>
      <c r="C21" s="3"/>
      <c r="D21" s="3"/>
      <c r="E21" s="3"/>
      <c r="F21" s="3"/>
    </row>
    <row r="22" spans="1:10" ht="30" customHeight="1">
      <c r="A22" s="3" t="s">
        <v>19</v>
      </c>
      <c r="B22" s="3"/>
      <c r="C22" s="3"/>
      <c r="D22" s="3"/>
      <c r="E22" s="3"/>
      <c r="F22" s="3"/>
    </row>
    <row r="43" spans="1:6">
      <c r="A43" s="4" t="s">
        <v>20</v>
      </c>
      <c r="B43" s="4"/>
      <c r="C43" s="4"/>
      <c r="D43" s="4"/>
      <c r="E43" s="4"/>
      <c r="F43" s="4"/>
    </row>
    <row r="44" spans="1:6">
      <c r="A44" s="3" t="s">
        <v>21</v>
      </c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0" t="s">
        <v>22</v>
      </c>
      <c r="B46" s="30"/>
      <c r="C46" s="30"/>
      <c r="D46" s="30"/>
      <c r="E46" s="30"/>
      <c r="F46" s="30"/>
    </row>
    <row r="47" spans="1:6">
      <c r="A47" s="30" t="s">
        <v>23</v>
      </c>
      <c r="B47" s="30"/>
      <c r="C47" s="30"/>
      <c r="D47" s="30"/>
      <c r="E47" s="30"/>
      <c r="F47" s="30"/>
    </row>
    <row r="48" spans="1:6" ht="30" customHeight="1">
      <c r="A48" s="3" t="s">
        <v>24</v>
      </c>
      <c r="B48" s="3"/>
      <c r="C48" s="3"/>
      <c r="D48" s="3"/>
      <c r="E48" s="3"/>
      <c r="F48" s="3"/>
    </row>
  </sheetData>
  <autoFilter ref="A11:F18"/>
  <mergeCells count="12">
    <mergeCell ref="A1:F1"/>
    <mergeCell ref="A2:F2"/>
    <mergeCell ref="A3:F3"/>
    <mergeCell ref="A8:F8"/>
    <mergeCell ref="A9:F9"/>
    <mergeCell ref="A21:F21"/>
    <mergeCell ref="A22:F22"/>
    <mergeCell ref="A43:F43"/>
    <mergeCell ref="A44:F45"/>
    <mergeCell ref="A46:F46"/>
    <mergeCell ref="A47:F47"/>
    <mergeCell ref="A48:F48"/>
  </mergeCells>
  <conditionalFormatting sqref="E12:E18">
    <cfRule type="containsText" dxfId="0" priority="1" operator="containsText" text="ACCEPT">
      <formula>NOT(ISERROR(SEARCH("ACCEPT",E12)))</formula>
    </cfRule>
    <cfRule type="containsText" dxfId="1" priority="2" operator="containsText" text="REJECT">
      <formula>NOT(ISERROR(SEARCH("REJECT",E12)))</formula>
    </cfRule>
  </conditionalFormatting>
  <pageMargins left="0.25" right="0.25" top="0.35" bottom="0.35" header="0.3" footer="0.3"/>
  <pageSetup paperSize="8" orientation="landscape"/>
  <headerFooter>
    <oddFooter>&amp;LExact saved records only&amp;Ctheta10 / D55&amp;R&amp;P / 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87E70"/>
    <pageSetUpPr fitToPage="1"/>
  </sheetPr>
  <dimension ref="A1:J48"/>
  <sheetViews>
    <sheetView showGridLines="0" zoomScale="90" zoomScaleNormal="9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RowHeight="15"/>
  <cols>
    <col min="1" max="1" width="16.7109375" customWidth="1"/>
    <col min="2" max="2" width="24.7109375" customWidth="1"/>
    <col min="3" max="3" width="23.7109375" customWidth="1"/>
    <col min="4" max="4" width="21.7109375" customWidth="1"/>
    <col min="5" max="5" width="19.7109375" customWidth="1"/>
    <col min="6" max="6" width="25.7109375" customWidth="1"/>
    <col min="8" max="10" width="0" hidden="1" customWidth="1"/>
  </cols>
  <sheetData>
    <row r="1" spans="1:10" ht="38" customHeight="1">
      <c r="A1" s="1" t="s">
        <v>0</v>
      </c>
      <c r="B1" s="1"/>
      <c r="C1" s="1"/>
      <c r="D1" s="1"/>
      <c r="E1" s="1"/>
      <c r="F1" s="1"/>
    </row>
    <row r="2" spans="1:10">
      <c r="A2" s="2" t="s">
        <v>25</v>
      </c>
      <c r="B2" s="2"/>
      <c r="C2" s="2"/>
      <c r="D2" s="2"/>
      <c r="E2" s="2"/>
      <c r="F2" s="2"/>
    </row>
    <row r="3" spans="1:10">
      <c r="A3" s="3" t="s">
        <v>2</v>
      </c>
      <c r="B3" s="3"/>
      <c r="C3" s="3"/>
      <c r="D3" s="3"/>
      <c r="E3" s="3"/>
      <c r="F3" s="3"/>
    </row>
    <row r="5" spans="1:10">
      <c r="A5" s="4" t="s">
        <v>3</v>
      </c>
      <c r="B5" s="5">
        <v>0.07798099387393764</v>
      </c>
      <c r="D5" s="4" t="s">
        <v>4</v>
      </c>
      <c r="E5" s="6">
        <v>0.0001</v>
      </c>
    </row>
    <row r="6" spans="1:10">
      <c r="A6" s="4" t="s">
        <v>5</v>
      </c>
      <c r="B6" s="9">
        <v>5.5</v>
      </c>
      <c r="D6" s="4" t="s">
        <v>6</v>
      </c>
      <c r="E6" s="8">
        <f>$B$5*$E$5</f>
        <v>7.798099387393764e-06</v>
      </c>
    </row>
    <row r="7" spans="1:10">
      <c r="A7" s="4" t="s">
        <v>7</v>
      </c>
      <c r="B7" s="7">
        <v>0.165</v>
      </c>
    </row>
    <row r="8" spans="1:10" ht="28" customHeight="1">
      <c r="A8" s="3" t="s">
        <v>8</v>
      </c>
      <c r="B8" s="3"/>
      <c r="C8" s="3"/>
      <c r="D8" s="3"/>
      <c r="E8" s="3"/>
      <c r="F8" s="3"/>
    </row>
    <row r="9" spans="1:10" ht="28" customHeight="1">
      <c r="A9" s="3" t="s">
        <v>9</v>
      </c>
      <c r="B9" s="3"/>
      <c r="C9" s="3"/>
      <c r="D9" s="3"/>
      <c r="E9" s="3"/>
      <c r="F9" s="3"/>
    </row>
    <row r="11" spans="1:10" ht="36" customHeight="1">
      <c r="A11" s="10" t="s">
        <v>26</v>
      </c>
      <c r="B11" s="10" t="s">
        <v>11</v>
      </c>
      <c r="C11" s="10" t="s">
        <v>12</v>
      </c>
      <c r="D11" s="10" t="s">
        <v>13</v>
      </c>
      <c r="E11" s="10" t="s">
        <v>14</v>
      </c>
      <c r="F11" s="10" t="s">
        <v>15</v>
      </c>
    </row>
    <row r="12" spans="1:10" ht="28" customHeight="1">
      <c r="A12" s="31">
        <v>0.16</v>
      </c>
      <c r="B12" s="12">
        <v>0.07797104999097981</v>
      </c>
      <c r="C12" s="13">
        <f>IF(ISNUMBER(B12),$B$5-B12,NA())</f>
        <v>9.943882957830219e-06</v>
      </c>
      <c r="D12" s="14">
        <f>IF(ISNUMBER(B12),C12/$B$5,NA())</f>
        <v>0.00012751675073422738</v>
      </c>
      <c r="E12" s="15" t="str">
        <f>IF(ISNUMBER(B12),IF(D12&lt;=$E$5,"ACCEPT","REJECT"),"MISSING_EXACT")</f>
        <v>REJECT</v>
      </c>
      <c r="F12" s="16" t="s">
        <v>16</v>
      </c>
      <c r="H12">
        <f>$E$5</f>
        <v>0.0001</v>
      </c>
      <c r="I12" t="e">
        <f>IF(AND(ISNUMBER(B12),A12=$B$7),B12,NA())</f>
        <v>#N/A</v>
      </c>
      <c r="J12" t="e">
        <f>IF(AND(ISNUMBER(B12),A12=$B$7),D12,NA())</f>
        <v>#N/A</v>
      </c>
    </row>
    <row r="13" spans="1:10" ht="28" customHeight="1">
      <c r="A13" s="32">
        <v>0.1625</v>
      </c>
      <c r="B13" s="18">
        <v>0.07797905612029876</v>
      </c>
      <c r="C13" s="19">
        <f>IF(ISNUMBER(B13),$B$5-B13,NA())</f>
        <v>1.9377536388809347e-06</v>
      </c>
      <c r="D13" s="20">
        <f>IF(ISNUMBER(B13),C13/$B$5,NA())</f>
        <v>2.4849050295684415e-05</v>
      </c>
      <c r="E13" s="21" t="str">
        <f>IF(ISNUMBER(B13),IF(D13&lt;=$E$5,"ACCEPT","REJECT"),"MISSING_EXACT")</f>
        <v>ACCEPT</v>
      </c>
      <c r="F13" s="22" t="s">
        <v>16</v>
      </c>
      <c r="H13">
        <f>$E$5</f>
        <v>0.0001</v>
      </c>
      <c r="I13" t="e">
        <f>IF(AND(ISNUMBER(B13),A13=$B$7),B13,NA())</f>
        <v>#N/A</v>
      </c>
      <c r="J13" t="e">
        <f>IF(AND(ISNUMBER(B13),A13=$B$7),D13,NA())</f>
        <v>#N/A</v>
      </c>
    </row>
    <row r="14" spans="1:10" ht="28" customHeight="1">
      <c r="A14" s="33">
        <v>0.165</v>
      </c>
      <c r="B14" s="25">
        <v>0.07798099387393764</v>
      </c>
      <c r="C14" s="26">
        <f>IF(ISNUMBER(B14),$B$5-B14,NA())</f>
        <v>0.0</v>
      </c>
      <c r="D14" s="27">
        <f>IF(ISNUMBER(B14),C14/$B$5,NA())</f>
        <v>0.0</v>
      </c>
      <c r="E14" s="28" t="str">
        <f>IF(ISNUMBER(B14),IF(D14&lt;=$E$5,"ACCEPT","REJECT"),"MISSING_EXACT")</f>
        <v>ACCEPT</v>
      </c>
      <c r="F14" s="29" t="s">
        <v>17</v>
      </c>
      <c r="H14">
        <f>$E$5</f>
        <v>0.0001</v>
      </c>
      <c r="I14">
        <f>IF(AND(ISNUMBER(B14),A14=$B$7),B14,NA())</f>
        <v>0.07798099387393764</v>
      </c>
      <c r="J14">
        <f>IF(AND(ISNUMBER(B14),A14=$B$7),D14,NA())</f>
        <v>0.0</v>
      </c>
    </row>
    <row r="15" spans="1:10" ht="28" customHeight="1">
      <c r="A15" s="32">
        <v>0.1675</v>
      </c>
      <c r="B15" s="18">
        <v>0.07797664855298636</v>
      </c>
      <c r="C15" s="19">
        <f>IF(ISNUMBER(B15),$B$5-B15,NA())</f>
        <v>4.345320951282261e-06</v>
      </c>
      <c r="D15" s="20">
        <f>IF(ISNUMBER(B15),C15/$B$5,NA())</f>
        <v>5.572282084922912e-05</v>
      </c>
      <c r="E15" s="21" t="str">
        <f>IF(ISNUMBER(B15),IF(D15&lt;=$E$5,"ACCEPT","REJECT"),"MISSING_EXACT")</f>
        <v>ACCEPT</v>
      </c>
      <c r="F15" s="22" t="s">
        <v>16</v>
      </c>
      <c r="H15">
        <f>$E$5</f>
        <v>0.0001</v>
      </c>
      <c r="I15" t="e">
        <f>IF(AND(ISNUMBER(B15),A15=$B$7),B15,NA())</f>
        <v>#N/A</v>
      </c>
      <c r="J15" t="e">
        <f>IF(AND(ISNUMBER(B15),A15=$B$7),D15,NA())</f>
        <v>#N/A</v>
      </c>
    </row>
    <row r="16" spans="1:10" ht="28" customHeight="1">
      <c r="A16" s="31">
        <v>0.17</v>
      </c>
      <c r="B16" s="12">
        <v>0.07796600001405829</v>
      </c>
      <c r="C16" s="13">
        <f>IF(ISNUMBER(B16),$B$5-B16,NA())</f>
        <v>1.4993859879353089e-05</v>
      </c>
      <c r="D16" s="14">
        <f>IF(ISNUMBER(B16),C16/$B$5,NA())</f>
        <v>0.00019227582433216782</v>
      </c>
      <c r="E16" s="15" t="str">
        <f>IF(ISNUMBER(B16),IF(D16&lt;=$E$5,"ACCEPT","REJECT"),"MISSING_EXACT")</f>
        <v>REJECT</v>
      </c>
      <c r="F16" s="16" t="s">
        <v>16</v>
      </c>
      <c r="H16">
        <f>$E$5</f>
        <v>0.0001</v>
      </c>
      <c r="I16" t="e">
        <f>IF(AND(ISNUMBER(B16),A16=$B$7),B16,NA())</f>
        <v>#N/A</v>
      </c>
      <c r="J16" t="e">
        <f>IF(AND(ISNUMBER(B16),A16=$B$7),D16,NA())</f>
        <v>#N/A</v>
      </c>
    </row>
    <row r="21" spans="1:6" ht="31" customHeight="1">
      <c r="A21" s="3" t="s">
        <v>18</v>
      </c>
      <c r="B21" s="3"/>
      <c r="C21" s="3"/>
      <c r="D21" s="3"/>
      <c r="E21" s="3"/>
      <c r="F21" s="3"/>
    </row>
    <row r="22" spans="1:6" ht="30" customHeight="1">
      <c r="A22" s="3" t="s">
        <v>19</v>
      </c>
      <c r="B22" s="3"/>
      <c r="C22" s="3"/>
      <c r="D22" s="3"/>
      <c r="E22" s="3"/>
      <c r="F22" s="3"/>
    </row>
    <row r="43" spans="1:6">
      <c r="A43" s="4" t="s">
        <v>20</v>
      </c>
      <c r="B43" s="4"/>
      <c r="C43" s="4"/>
      <c r="D43" s="4"/>
      <c r="E43" s="4"/>
      <c r="F43" s="4"/>
    </row>
    <row r="44" spans="1:6">
      <c r="A44" s="3" t="s">
        <v>21</v>
      </c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0" t="s">
        <v>22</v>
      </c>
      <c r="B46" s="30"/>
      <c r="C46" s="30"/>
      <c r="D46" s="30"/>
      <c r="E46" s="30"/>
      <c r="F46" s="30"/>
    </row>
    <row r="47" spans="1:6">
      <c r="A47" s="30" t="s">
        <v>23</v>
      </c>
      <c r="B47" s="30"/>
      <c r="C47" s="30"/>
      <c r="D47" s="30"/>
      <c r="E47" s="30"/>
      <c r="F47" s="30"/>
    </row>
    <row r="48" spans="1:6" ht="30" customHeight="1">
      <c r="A48" s="3" t="s">
        <v>24</v>
      </c>
      <c r="B48" s="3"/>
      <c r="C48" s="3"/>
      <c r="D48" s="3"/>
      <c r="E48" s="3"/>
      <c r="F48" s="3"/>
    </row>
  </sheetData>
  <autoFilter ref="A11:F16"/>
  <mergeCells count="12">
    <mergeCell ref="A1:F1"/>
    <mergeCell ref="A2:F2"/>
    <mergeCell ref="A3:F3"/>
    <mergeCell ref="A8:F8"/>
    <mergeCell ref="A9:F9"/>
    <mergeCell ref="A21:F21"/>
    <mergeCell ref="A22:F22"/>
    <mergeCell ref="A43:F43"/>
    <mergeCell ref="A44:F45"/>
    <mergeCell ref="A46:F46"/>
    <mergeCell ref="A47:F47"/>
    <mergeCell ref="A48:F48"/>
  </mergeCells>
  <conditionalFormatting sqref="E12:E16">
    <cfRule type="containsText" dxfId="0" priority="1" operator="containsText" text="ACCEPT">
      <formula>NOT(ISERROR(SEARCH("ACCEPT",E12)))</formula>
    </cfRule>
    <cfRule type="containsText" dxfId="1" priority="2" operator="containsText" text="REJECT">
      <formula>NOT(ISERROR(SEARCH("REJECT",E12)))</formula>
    </cfRule>
  </conditionalFormatting>
  <pageMargins left="0.25" right="0.25" top="0.35" bottom="0.35" header="0.3" footer="0.3"/>
  <pageSetup paperSize="8" orientation="landscape"/>
  <headerFooter>
    <oddFooter>&amp;LExact saved records only&amp;Ctheta10 / D55&amp;R&amp;P / &amp;N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Fixed nu</vt:lpstr>
      <vt:lpstr>Fixed VA</vt:lpstr>
      <vt:lpstr>'Fixed nu'!Print_Area</vt:lpstr>
      <vt:lpstr>'Fixed VA'!Print_Area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Exact SKR sensitivity | theta10 / D55</dc:title>
  <dc:subject>Mentor presentation; validated saved records only</dc:subject>
  <dc:creator>Research presentation</dc:creator>
  <dc:description>AP, AO, new C,w and new SKR evaluations: NOT_RUN.</dc:description>
  <cp:lastModifiedBy>Research presentation</cp:lastModifiedBy>
  <dcterms:created xsi:type="dcterms:W3CDTF">2026-10-12T03:29:12Z</dcterms:created>
  <dcterms:modified xsi:type="dcterms:W3CDTF">2026-10-12T03:29:12Z</dcterms:modified>
</cp:coreProperties>
</file>